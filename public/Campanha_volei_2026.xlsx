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as" sheetId="1" r:id="rId5"/>
    <sheet state="visible" name="rifa_principal" sheetId="2" r:id="rId6"/>
    <sheet state="visible" name="rifas_avulsas" sheetId="3" r:id="rId7"/>
    <sheet state="visible" name="cantina" sheetId="4" r:id="rId8"/>
    <sheet state="visible" name="doacoes" sheetId="5" r:id="rId9"/>
    <sheet state="visible" name="despesas" sheetId="6" r:id="rId10"/>
    <sheet state="visible" name="config" sheetId="7" r:id="rId11"/>
  </sheets>
  <definedNames/>
  <calcPr/>
</workbook>
</file>

<file path=xl/sharedStrings.xml><?xml version="1.0" encoding="utf-8"?>
<sst xmlns="http://schemas.openxmlformats.org/spreadsheetml/2006/main" count="205" uniqueCount="140">
  <si>
    <t>Camisa</t>
  </si>
  <si>
    <t>short</t>
  </si>
  <si>
    <t>nome_completo</t>
  </si>
  <si>
    <t>pos</t>
  </si>
  <si>
    <t>photo</t>
  </si>
  <si>
    <t>ativo</t>
  </si>
  <si>
    <t>Contini</t>
  </si>
  <si>
    <t>Juan Contini Vilas Boas</t>
  </si>
  <si>
    <t>Ponteiro</t>
  </si>
  <si>
    <t>sem foto</t>
  </si>
  <si>
    <t>Cadu</t>
  </si>
  <si>
    <t>Carlos Eduardo Ferragut Tosto</t>
  </si>
  <si>
    <t>Levantador</t>
  </si>
  <si>
    <t>2_CADUlevantador.jpg</t>
  </si>
  <si>
    <t>sim</t>
  </si>
  <si>
    <t>Sordi</t>
  </si>
  <si>
    <t>Bruno de Sordi</t>
  </si>
  <si>
    <t>3_SORDIlevantador.jpg</t>
  </si>
  <si>
    <t>Lisboa</t>
  </si>
  <si>
    <t>Piettro Tavares Lisboa</t>
  </si>
  <si>
    <t>Líbero</t>
  </si>
  <si>
    <t>4_LISBOAlibero.jpg</t>
  </si>
  <si>
    <t>Dudu</t>
  </si>
  <si>
    <t>Eduardo Hilario Besani</t>
  </si>
  <si>
    <t>5_DUDUponteiro.jpg</t>
  </si>
  <si>
    <t>Rufino</t>
  </si>
  <si>
    <t>Rafael Rufino Florentino</t>
  </si>
  <si>
    <t>6_RUFINOponteiro.jpg</t>
  </si>
  <si>
    <t>Phyllyp</t>
  </si>
  <si>
    <t>Yagho Phyllyp Bezerra Santos</t>
  </si>
  <si>
    <t>Central</t>
  </si>
  <si>
    <t>7_PHYLLYPcentral.jpg</t>
  </si>
  <si>
    <t>Tomasetto</t>
  </si>
  <si>
    <t>Renan Braz de Souza Tomasetto</t>
  </si>
  <si>
    <t>8_TOMASETTOlevantador.jpg</t>
  </si>
  <si>
    <t>Adrian Derick</t>
  </si>
  <si>
    <t>Adrian Derick Rodrigues de Morais</t>
  </si>
  <si>
    <t>9_ADRIANDERICKlevantador.jpg</t>
  </si>
  <si>
    <t>Centomo</t>
  </si>
  <si>
    <t>Pedro Centomo de Castro</t>
  </si>
  <si>
    <t>Oposto</t>
  </si>
  <si>
    <t>10_CENTOMOoposto.jpg</t>
  </si>
  <si>
    <t>Kairon</t>
  </si>
  <si>
    <t>Kairon Sousa Rocha</t>
  </si>
  <si>
    <t>11_KAIRONponteiro.jpg</t>
  </si>
  <si>
    <t>Joaquim</t>
  </si>
  <si>
    <t>Joaquim Alexandre Medeiros Eugenio</t>
  </si>
  <si>
    <t>Pedro</t>
  </si>
  <si>
    <t>Pedro Pereira Alves</t>
  </si>
  <si>
    <t xml:space="preserve">Central </t>
  </si>
  <si>
    <t>13_PEDROcentral.jpg</t>
  </si>
  <si>
    <t>Thiago</t>
  </si>
  <si>
    <t>Thiago Brito Escolástico</t>
  </si>
  <si>
    <t>14_THIAGOcentral.jpg</t>
  </si>
  <si>
    <t>Isoppi</t>
  </si>
  <si>
    <t>Miguel Isoppi Gasperoni</t>
  </si>
  <si>
    <t>16_ISOPPIcentral.jpg</t>
  </si>
  <si>
    <t>Luiz</t>
  </si>
  <si>
    <t>Luiz Otavio de Souza Valle</t>
  </si>
  <si>
    <t>17_LUIZponteiro.jpg</t>
  </si>
  <si>
    <t>PH Resende</t>
  </si>
  <si>
    <t>Paulo Henrique Silva Resende</t>
  </si>
  <si>
    <t>18_PHRESENDEoposto.jpg</t>
  </si>
  <si>
    <t>Léo Amorim</t>
  </si>
  <si>
    <t>Leonardo Zanelato Amorim</t>
  </si>
  <si>
    <t>19_LEOAMORIMponteiro.jpg</t>
  </si>
  <si>
    <t>Rodolfo</t>
  </si>
  <si>
    <t>Rodolfo Ryan Munhao</t>
  </si>
  <si>
    <t>22_RODOLFOlibero.jpg</t>
  </si>
  <si>
    <t>Juan</t>
  </si>
  <si>
    <t>Juan Pablo Almeida Gomes</t>
  </si>
  <si>
    <t>27_JUANoposto.jpg</t>
  </si>
  <si>
    <t>Yoswell</t>
  </si>
  <si>
    <t>Yoswell Enrique Mendoza Godoy</t>
  </si>
  <si>
    <t>28_YOSWELLcentral.jpg</t>
  </si>
  <si>
    <t>Murilo</t>
  </si>
  <si>
    <t>Alisson</t>
  </si>
  <si>
    <t>Alisson Rodrigues Salomão</t>
  </si>
  <si>
    <t>Técnico</t>
  </si>
  <si>
    <t>31_ALISSONtecnico.jpg</t>
  </si>
  <si>
    <t>Gonzalez</t>
  </si>
  <si>
    <t>João Felipe Gonzalez</t>
  </si>
  <si>
    <t>Assistente Técnico</t>
  </si>
  <si>
    <t>numero</t>
  </si>
  <si>
    <t>num_atleta</t>
  </si>
  <si>
    <t>comprador_nome</t>
  </si>
  <si>
    <t>comprador_contato</t>
  </si>
  <si>
    <t>data_venda</t>
  </si>
  <si>
    <t>pago</t>
  </si>
  <si>
    <t>forma_pagamento</t>
  </si>
  <si>
    <t>id</t>
  </si>
  <si>
    <t>data</t>
  </si>
  <si>
    <t>nome_rifa</t>
  </si>
  <si>
    <t>premio</t>
  </si>
  <si>
    <t>valor_bilhete</t>
  </si>
  <si>
    <t>bilhetes_vendidos</t>
  </si>
  <si>
    <t>total_arrecadado</t>
  </si>
  <si>
    <t>ganhador</t>
  </si>
  <si>
    <t>data_do_premio</t>
  </si>
  <si>
    <t>observacao</t>
  </si>
  <si>
    <t>Cesta de Frutas</t>
  </si>
  <si>
    <t>Cesta de frutas DeMarchi</t>
  </si>
  <si>
    <t>Eliana</t>
  </si>
  <si>
    <t>Kit Bem Estar</t>
  </si>
  <si>
    <t>Kit de Produtos Bem Estar</t>
  </si>
  <si>
    <t>Felipe</t>
  </si>
  <si>
    <t>evento</t>
  </si>
  <si>
    <t>descricao</t>
  </si>
  <si>
    <t>Cantina Ceiul</t>
  </si>
  <si>
    <t>Salgados, bebidas, doces</t>
  </si>
  <si>
    <t>pix e dinheiro</t>
  </si>
  <si>
    <t>doador_nome</t>
  </si>
  <si>
    <t>doador_contato</t>
  </si>
  <si>
    <t>valor</t>
  </si>
  <si>
    <t>Alcione e Wagner</t>
  </si>
  <si>
    <t>Pix</t>
  </si>
  <si>
    <t>Amigo do projeto- cantina atletas</t>
  </si>
  <si>
    <t>Anônimo</t>
  </si>
  <si>
    <t>categoria</t>
  </si>
  <si>
    <t>comprovante</t>
  </si>
  <si>
    <t>Inscrição</t>
  </si>
  <si>
    <t>Taxa Taça Paraná - 1ª parcela</t>
  </si>
  <si>
    <t>Alimentação</t>
  </si>
  <si>
    <t>Almoço e jantar Maringá</t>
  </si>
  <si>
    <t>Dinheiro</t>
  </si>
  <si>
    <t>22 atletas + comissão</t>
  </si>
  <si>
    <t>Taxa Taça Paraná</t>
  </si>
  <si>
    <t>Transporte</t>
  </si>
  <si>
    <t>Ida e volta</t>
  </si>
  <si>
    <t>chave</t>
  </si>
  <si>
    <t>meta_total</t>
  </si>
  <si>
    <t>total_numeros_rifa</t>
  </si>
  <si>
    <t>valor_rifa</t>
  </si>
  <si>
    <t>data_encerramento_rifa</t>
  </si>
  <si>
    <t>premio_principal</t>
  </si>
  <si>
    <t>iPhone 16 128GB OU 4.000pix</t>
  </si>
  <si>
    <t>premio_interno_atleta</t>
  </si>
  <si>
    <t>Vale Tênis 1° ao 3°</t>
  </si>
  <si>
    <t>nome_campanha</t>
  </si>
  <si>
    <t>Taça Paraná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</si>
</sst>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-apple-system"/>
    </font>
    <font>
      <color theme="1"/>
      <name val="Arial"/>
    </font>
    <font>
      <color theme="1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4" xfId="0" applyFont="1" applyNumberFormat="1"/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7.38"/>
    <col customWidth="1" min="3" max="3" width="29.75"/>
    <col customWidth="1" min="4" max="4" width="16.88"/>
    <col customWidth="1" min="5" max="5" width="28.38"/>
    <col customWidth="1" min="8" max="8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5" t="s">
        <v>7</v>
      </c>
      <c r="D2" s="4" t="s">
        <v>8</v>
      </c>
      <c r="E2" s="3" t="s">
        <v>9</v>
      </c>
      <c r="F2" s="3" t="s">
        <v>9</v>
      </c>
      <c r="G2" s="6"/>
      <c r="H2" s="6"/>
      <c r="I2" s="6"/>
      <c r="J2" s="7"/>
    </row>
    <row r="3">
      <c r="A3" s="3">
        <v>2.0</v>
      </c>
      <c r="B3" s="5" t="s">
        <v>10</v>
      </c>
      <c r="C3" s="5" t="s">
        <v>11</v>
      </c>
      <c r="D3" s="5" t="s">
        <v>12</v>
      </c>
      <c r="E3" s="3" t="s">
        <v>13</v>
      </c>
      <c r="F3" s="3" t="s">
        <v>14</v>
      </c>
      <c r="G3" s="6"/>
      <c r="H3" s="6"/>
      <c r="I3" s="6"/>
      <c r="J3" s="7"/>
    </row>
    <row r="4">
      <c r="A4" s="3">
        <v>3.0</v>
      </c>
      <c r="B4" s="4" t="s">
        <v>15</v>
      </c>
      <c r="C4" s="5" t="s">
        <v>16</v>
      </c>
      <c r="D4" s="4" t="s">
        <v>12</v>
      </c>
      <c r="E4" s="3" t="s">
        <v>17</v>
      </c>
      <c r="F4" s="3" t="s">
        <v>14</v>
      </c>
      <c r="G4" s="6"/>
      <c r="H4" s="6"/>
      <c r="I4" s="6"/>
      <c r="J4" s="7"/>
    </row>
    <row r="5">
      <c r="A5" s="3">
        <v>4.0</v>
      </c>
      <c r="B5" s="4" t="s">
        <v>18</v>
      </c>
      <c r="C5" s="5" t="s">
        <v>19</v>
      </c>
      <c r="D5" s="5" t="s">
        <v>20</v>
      </c>
      <c r="E5" s="3" t="s">
        <v>21</v>
      </c>
      <c r="F5" s="3" t="s">
        <v>14</v>
      </c>
      <c r="G5" s="6"/>
      <c r="H5" s="6"/>
      <c r="I5" s="6"/>
      <c r="J5" s="7"/>
    </row>
    <row r="6">
      <c r="A6" s="3">
        <v>5.0</v>
      </c>
      <c r="B6" s="4" t="s">
        <v>22</v>
      </c>
      <c r="C6" s="5" t="s">
        <v>23</v>
      </c>
      <c r="D6" s="4" t="s">
        <v>8</v>
      </c>
      <c r="E6" s="3" t="s">
        <v>24</v>
      </c>
      <c r="F6" s="3" t="s">
        <v>14</v>
      </c>
      <c r="G6" s="6"/>
      <c r="H6" s="6"/>
      <c r="I6" s="6"/>
      <c r="J6" s="7"/>
    </row>
    <row r="7">
      <c r="A7" s="3">
        <v>6.0</v>
      </c>
      <c r="B7" s="4" t="s">
        <v>25</v>
      </c>
      <c r="C7" s="4" t="s">
        <v>26</v>
      </c>
      <c r="D7" s="4" t="s">
        <v>8</v>
      </c>
      <c r="E7" s="3" t="s">
        <v>27</v>
      </c>
      <c r="F7" s="3" t="s">
        <v>14</v>
      </c>
      <c r="G7" s="6"/>
      <c r="H7" s="6"/>
      <c r="I7" s="6"/>
      <c r="J7" s="7"/>
    </row>
    <row r="8">
      <c r="A8" s="3">
        <v>7.0</v>
      </c>
      <c r="B8" s="4" t="s">
        <v>28</v>
      </c>
      <c r="C8" s="5" t="s">
        <v>29</v>
      </c>
      <c r="D8" s="4" t="s">
        <v>30</v>
      </c>
      <c r="E8" s="3" t="s">
        <v>31</v>
      </c>
      <c r="F8" s="3" t="s">
        <v>14</v>
      </c>
      <c r="G8" s="6"/>
      <c r="H8" s="6"/>
      <c r="I8" s="6"/>
      <c r="J8" s="7"/>
    </row>
    <row r="9">
      <c r="A9" s="3">
        <v>8.0</v>
      </c>
      <c r="B9" s="4" t="s">
        <v>32</v>
      </c>
      <c r="C9" s="5" t="s">
        <v>33</v>
      </c>
      <c r="D9" s="8" t="s">
        <v>12</v>
      </c>
      <c r="E9" s="3" t="s">
        <v>34</v>
      </c>
      <c r="F9" s="3" t="s">
        <v>14</v>
      </c>
      <c r="G9" s="6"/>
      <c r="H9" s="6"/>
      <c r="I9" s="6"/>
      <c r="J9" s="7"/>
    </row>
    <row r="10">
      <c r="A10" s="3">
        <v>9.0</v>
      </c>
      <c r="B10" s="8" t="s">
        <v>35</v>
      </c>
      <c r="C10" s="9" t="s">
        <v>36</v>
      </c>
      <c r="D10" s="3" t="s">
        <v>12</v>
      </c>
      <c r="E10" s="3" t="s">
        <v>37</v>
      </c>
      <c r="F10" s="3" t="s">
        <v>14</v>
      </c>
      <c r="G10" s="6"/>
      <c r="H10" s="6"/>
      <c r="I10" s="6"/>
      <c r="J10" s="7"/>
    </row>
    <row r="11">
      <c r="A11" s="3">
        <v>10.0</v>
      </c>
      <c r="B11" s="3" t="s">
        <v>38</v>
      </c>
      <c r="C11" s="9" t="s">
        <v>39</v>
      </c>
      <c r="D11" s="3" t="s">
        <v>40</v>
      </c>
      <c r="E11" s="3" t="s">
        <v>41</v>
      </c>
      <c r="F11" s="3" t="s">
        <v>14</v>
      </c>
      <c r="G11" s="6"/>
      <c r="H11" s="6"/>
      <c r="I11" s="6"/>
      <c r="J11" s="7"/>
    </row>
    <row r="12">
      <c r="A12" s="3">
        <v>11.0</v>
      </c>
      <c r="B12" s="3" t="s">
        <v>42</v>
      </c>
      <c r="C12" s="9" t="s">
        <v>43</v>
      </c>
      <c r="D12" s="3" t="s">
        <v>8</v>
      </c>
      <c r="E12" s="3" t="s">
        <v>44</v>
      </c>
      <c r="F12" s="9" t="s">
        <v>14</v>
      </c>
      <c r="G12" s="6"/>
      <c r="H12" s="6"/>
      <c r="I12" s="6"/>
      <c r="J12" s="7"/>
    </row>
    <row r="13">
      <c r="A13" s="3">
        <v>12.0</v>
      </c>
      <c r="B13" s="3" t="s">
        <v>45</v>
      </c>
      <c r="C13" s="9" t="s">
        <v>46</v>
      </c>
      <c r="D13" s="10" t="s">
        <v>30</v>
      </c>
      <c r="E13" s="3" t="s">
        <v>9</v>
      </c>
      <c r="F13" s="3" t="s">
        <v>9</v>
      </c>
      <c r="G13" s="6"/>
      <c r="H13" s="6"/>
      <c r="I13" s="6"/>
      <c r="J13" s="7"/>
    </row>
    <row r="14">
      <c r="A14" s="3">
        <v>13.0</v>
      </c>
      <c r="B14" s="3" t="s">
        <v>47</v>
      </c>
      <c r="C14" s="9" t="s">
        <v>48</v>
      </c>
      <c r="D14" s="10" t="s">
        <v>49</v>
      </c>
      <c r="E14" s="3" t="s">
        <v>50</v>
      </c>
      <c r="F14" s="9" t="s">
        <v>14</v>
      </c>
      <c r="G14" s="6"/>
      <c r="H14" s="6"/>
      <c r="I14" s="6"/>
      <c r="J14" s="7"/>
    </row>
    <row r="15">
      <c r="A15" s="3">
        <v>14.0</v>
      </c>
      <c r="B15" s="3" t="s">
        <v>51</v>
      </c>
      <c r="C15" s="9" t="s">
        <v>52</v>
      </c>
      <c r="D15" s="10" t="s">
        <v>30</v>
      </c>
      <c r="E15" s="3" t="s">
        <v>53</v>
      </c>
      <c r="F15" s="9" t="s">
        <v>14</v>
      </c>
      <c r="G15" s="6"/>
      <c r="H15" s="6"/>
      <c r="I15" s="6"/>
      <c r="J15" s="7"/>
    </row>
    <row r="16">
      <c r="A16" s="3">
        <v>16.0</v>
      </c>
      <c r="B16" s="3" t="s">
        <v>54</v>
      </c>
      <c r="C16" s="9" t="s">
        <v>55</v>
      </c>
      <c r="D16" s="8" t="s">
        <v>30</v>
      </c>
      <c r="E16" s="3" t="s">
        <v>56</v>
      </c>
      <c r="F16" s="9" t="s">
        <v>14</v>
      </c>
      <c r="G16" s="6"/>
      <c r="H16" s="6"/>
      <c r="I16" s="6"/>
      <c r="J16" s="7"/>
    </row>
    <row r="17">
      <c r="A17" s="3">
        <v>17.0</v>
      </c>
      <c r="B17" s="3" t="s">
        <v>57</v>
      </c>
      <c r="C17" s="9" t="s">
        <v>58</v>
      </c>
      <c r="D17" s="10" t="s">
        <v>8</v>
      </c>
      <c r="E17" s="3" t="s">
        <v>59</v>
      </c>
      <c r="F17" s="9" t="s">
        <v>14</v>
      </c>
      <c r="G17" s="6"/>
      <c r="H17" s="6"/>
      <c r="I17" s="6"/>
      <c r="J17" s="7"/>
    </row>
    <row r="18">
      <c r="A18" s="3">
        <v>18.0</v>
      </c>
      <c r="B18" s="3" t="s">
        <v>60</v>
      </c>
      <c r="C18" s="9" t="s">
        <v>61</v>
      </c>
      <c r="D18" s="10" t="s">
        <v>40</v>
      </c>
      <c r="E18" s="3" t="s">
        <v>62</v>
      </c>
      <c r="F18" s="3" t="s">
        <v>14</v>
      </c>
      <c r="G18" s="6"/>
      <c r="H18" s="6"/>
      <c r="I18" s="6"/>
      <c r="J18" s="7"/>
    </row>
    <row r="19">
      <c r="A19" s="3">
        <v>19.0</v>
      </c>
      <c r="B19" s="11" t="s">
        <v>63</v>
      </c>
      <c r="C19" s="9" t="s">
        <v>64</v>
      </c>
      <c r="D19" s="10" t="s">
        <v>8</v>
      </c>
      <c r="E19" s="3" t="s">
        <v>65</v>
      </c>
      <c r="F19" s="9" t="s">
        <v>14</v>
      </c>
      <c r="G19" s="6"/>
      <c r="H19" s="6"/>
      <c r="I19" s="6"/>
      <c r="J19" s="7"/>
    </row>
    <row r="20">
      <c r="A20" s="3">
        <v>22.0</v>
      </c>
      <c r="B20" s="3" t="s">
        <v>66</v>
      </c>
      <c r="C20" s="9" t="s">
        <v>67</v>
      </c>
      <c r="D20" s="8" t="s">
        <v>20</v>
      </c>
      <c r="E20" s="3" t="s">
        <v>68</v>
      </c>
      <c r="F20" s="9" t="s">
        <v>14</v>
      </c>
      <c r="G20" s="6"/>
      <c r="H20" s="6"/>
      <c r="I20" s="6"/>
      <c r="J20" s="7"/>
    </row>
    <row r="21">
      <c r="A21" s="3">
        <v>27.0</v>
      </c>
      <c r="B21" s="11" t="s">
        <v>69</v>
      </c>
      <c r="C21" s="9" t="s">
        <v>70</v>
      </c>
      <c r="D21" s="10" t="s">
        <v>40</v>
      </c>
      <c r="E21" s="3" t="s">
        <v>71</v>
      </c>
      <c r="F21" s="9" t="s">
        <v>14</v>
      </c>
      <c r="G21" s="6"/>
      <c r="H21" s="6"/>
      <c r="I21" s="6"/>
      <c r="J21" s="7"/>
    </row>
    <row r="22">
      <c r="A22" s="3">
        <v>28.0</v>
      </c>
      <c r="B22" s="11" t="s">
        <v>72</v>
      </c>
      <c r="C22" s="9" t="s">
        <v>73</v>
      </c>
      <c r="D22" s="10" t="s">
        <v>30</v>
      </c>
      <c r="E22" s="3" t="s">
        <v>74</v>
      </c>
      <c r="F22" s="9" t="s">
        <v>14</v>
      </c>
      <c r="G22" s="6"/>
      <c r="H22" s="6"/>
      <c r="I22" s="6"/>
      <c r="J22" s="7"/>
    </row>
    <row r="23">
      <c r="A23" s="3">
        <v>30.0</v>
      </c>
      <c r="B23" s="11" t="s">
        <v>75</v>
      </c>
      <c r="C23" s="3" t="s">
        <v>75</v>
      </c>
      <c r="D23" s="3" t="s">
        <v>8</v>
      </c>
      <c r="E23" s="3" t="s">
        <v>9</v>
      </c>
      <c r="F23" s="9"/>
      <c r="G23" s="6"/>
      <c r="H23" s="6"/>
      <c r="I23" s="6"/>
      <c r="J23" s="7"/>
    </row>
    <row r="24">
      <c r="A24" s="3">
        <v>31.0</v>
      </c>
      <c r="B24" s="11" t="s">
        <v>76</v>
      </c>
      <c r="C24" s="3" t="s">
        <v>77</v>
      </c>
      <c r="D24" s="3" t="s">
        <v>78</v>
      </c>
      <c r="E24" s="3" t="s">
        <v>79</v>
      </c>
      <c r="F24" s="9" t="s">
        <v>14</v>
      </c>
      <c r="G24" s="6"/>
      <c r="H24" s="6"/>
      <c r="I24" s="6"/>
      <c r="J24" s="7"/>
    </row>
    <row r="25">
      <c r="A25" s="3">
        <v>32.0</v>
      </c>
      <c r="B25" s="11" t="s">
        <v>80</v>
      </c>
      <c r="C25" s="11" t="s">
        <v>81</v>
      </c>
      <c r="D25" s="3" t="s">
        <v>82</v>
      </c>
      <c r="E25" s="3" t="s">
        <v>9</v>
      </c>
      <c r="F25" s="3" t="s">
        <v>9</v>
      </c>
      <c r="G25" s="6"/>
      <c r="H25" s="6"/>
      <c r="I25" s="6"/>
      <c r="J25" s="7"/>
    </row>
    <row r="26">
      <c r="A26" s="6"/>
      <c r="B26" s="6"/>
      <c r="C26" s="6"/>
      <c r="D26" s="6"/>
      <c r="E26" s="7"/>
      <c r="F26" s="6"/>
      <c r="G26" s="6"/>
      <c r="H26" s="6"/>
      <c r="I26" s="6"/>
      <c r="J26" s="7"/>
    </row>
    <row r="27">
      <c r="A27" s="6"/>
      <c r="B27" s="6"/>
      <c r="C27" s="6"/>
      <c r="D27" s="6"/>
      <c r="E27" s="7"/>
      <c r="F27" s="6"/>
      <c r="G27" s="6"/>
      <c r="H27" s="6"/>
      <c r="I27" s="6"/>
      <c r="J27" s="7"/>
    </row>
    <row r="28">
      <c r="A28" s="6"/>
      <c r="B28" s="6"/>
      <c r="C28" s="6"/>
      <c r="D28" s="6"/>
      <c r="E28" s="6"/>
      <c r="F28" s="6"/>
      <c r="G28" s="6"/>
      <c r="H28" s="6"/>
      <c r="I28" s="6"/>
      <c r="J28" s="7"/>
    </row>
    <row r="29">
      <c r="A29" s="6"/>
      <c r="B29" s="6"/>
      <c r="C29" s="6"/>
      <c r="D29" s="6"/>
      <c r="E29" s="7"/>
      <c r="F29" s="6"/>
      <c r="G29" s="6"/>
      <c r="H29" s="6"/>
      <c r="I29" s="6"/>
      <c r="J29" s="7"/>
    </row>
    <row r="30">
      <c r="A30" s="6"/>
      <c r="B30" s="6"/>
      <c r="C30" s="6"/>
      <c r="D30" s="6"/>
      <c r="E30" s="7"/>
      <c r="F30" s="6"/>
      <c r="G30" s="6"/>
      <c r="H30" s="6"/>
      <c r="I30" s="6"/>
      <c r="J30" s="7"/>
    </row>
    <row r="31">
      <c r="A31" s="6"/>
      <c r="B31" s="6"/>
      <c r="C31" s="6"/>
      <c r="D31" s="6"/>
      <c r="E31" s="6"/>
      <c r="F31" s="6"/>
      <c r="G31" s="6"/>
      <c r="H31" s="6"/>
      <c r="I31" s="6"/>
      <c r="J31" s="7"/>
    </row>
    <row r="32">
      <c r="A32" s="6"/>
      <c r="B32" s="6"/>
      <c r="C32" s="6"/>
      <c r="D32" s="6"/>
      <c r="E32" s="7"/>
      <c r="F32" s="6"/>
      <c r="G32" s="6"/>
      <c r="H32" s="6"/>
      <c r="I32" s="6"/>
      <c r="J32" s="7"/>
    </row>
    <row r="33">
      <c r="A33" s="6"/>
      <c r="B33" s="6"/>
      <c r="C33" s="6"/>
      <c r="D33" s="6"/>
      <c r="E33" s="7"/>
      <c r="F33" s="6"/>
      <c r="G33" s="6"/>
      <c r="H33" s="6"/>
      <c r="I33" s="6"/>
      <c r="J33" s="7"/>
    </row>
    <row r="34">
      <c r="A34" s="6"/>
      <c r="B34" s="6"/>
      <c r="C34" s="6"/>
      <c r="D34" s="6"/>
      <c r="E34" s="7"/>
      <c r="G34" s="6"/>
      <c r="H34" s="6"/>
      <c r="I34" s="6"/>
      <c r="J34" s="7"/>
    </row>
    <row r="35">
      <c r="A3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7.13"/>
    <col customWidth="1" min="7" max="7" width="15.88"/>
  </cols>
  <sheetData>
    <row r="1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</row>
    <row r="2">
      <c r="A2" s="6"/>
      <c r="B2" s="6"/>
      <c r="C2" s="6"/>
      <c r="D2" s="6"/>
      <c r="E2" s="13"/>
      <c r="F2" s="6"/>
      <c r="G2" s="6"/>
    </row>
    <row r="3">
      <c r="A3" s="6"/>
      <c r="B3" s="6"/>
      <c r="C3" s="6"/>
      <c r="D3" s="6"/>
      <c r="E3" s="13"/>
      <c r="F3" s="6"/>
      <c r="G3" s="14"/>
    </row>
    <row r="4">
      <c r="A4" s="6"/>
      <c r="B4" s="6"/>
      <c r="C4" s="6"/>
      <c r="D4" s="6"/>
      <c r="E4" s="13"/>
      <c r="F4" s="6"/>
      <c r="G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3.0"/>
    <col customWidth="1" min="3" max="3" width="17.5"/>
    <col customWidth="1" min="4" max="4" width="26.88"/>
    <col customWidth="1" min="5" max="5" width="13.88"/>
    <col customWidth="1" min="6" max="6" width="16.38"/>
    <col customWidth="1" min="7" max="7" width="16.5"/>
    <col customWidth="1" min="9" max="10" width="17.13"/>
  </cols>
  <sheetData>
    <row r="1">
      <c r="A1" s="12" t="s">
        <v>90</v>
      </c>
      <c r="B1" s="12" t="s">
        <v>91</v>
      </c>
      <c r="C1" s="12" t="s">
        <v>92</v>
      </c>
      <c r="D1" s="12" t="s">
        <v>93</v>
      </c>
      <c r="E1" s="12" t="s">
        <v>94</v>
      </c>
      <c r="F1" s="12" t="s">
        <v>95</v>
      </c>
      <c r="G1" s="12" t="s">
        <v>96</v>
      </c>
      <c r="H1" s="12" t="s">
        <v>97</v>
      </c>
      <c r="I1" s="15" t="s">
        <v>98</v>
      </c>
      <c r="J1" s="12" t="s">
        <v>99</v>
      </c>
    </row>
    <row r="2">
      <c r="A2" s="6">
        <v>1.0</v>
      </c>
      <c r="B2" s="16">
        <v>46138.0</v>
      </c>
      <c r="C2" s="14" t="s">
        <v>100</v>
      </c>
      <c r="D2" s="14" t="s">
        <v>101</v>
      </c>
      <c r="E2" s="17">
        <v>10.0</v>
      </c>
      <c r="F2" s="14">
        <v>50.0</v>
      </c>
      <c r="G2" s="17">
        <f>E2*F2</f>
        <v>500</v>
      </c>
      <c r="H2" s="14" t="s">
        <v>102</v>
      </c>
      <c r="I2" s="18">
        <v>46138.0</v>
      </c>
      <c r="J2" s="6"/>
    </row>
    <row r="3">
      <c r="A3" s="6">
        <v>2.0</v>
      </c>
      <c r="B3" s="16">
        <v>46163.0</v>
      </c>
      <c r="C3" s="14" t="s">
        <v>103</v>
      </c>
      <c r="D3" s="14" t="s">
        <v>104</v>
      </c>
      <c r="E3" s="17">
        <v>10.0</v>
      </c>
      <c r="F3" s="14">
        <v>50.0</v>
      </c>
      <c r="G3" s="17">
        <v>500.0</v>
      </c>
      <c r="H3" s="14" t="s">
        <v>105</v>
      </c>
      <c r="I3" s="18">
        <v>46163.0</v>
      </c>
      <c r="J3" s="6"/>
    </row>
    <row r="4">
      <c r="A4" s="7"/>
      <c r="G4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5" max="5" width="16.5"/>
    <col customWidth="1" min="6" max="6" width="18.25"/>
  </cols>
  <sheetData>
    <row r="1">
      <c r="A1" s="12" t="s">
        <v>90</v>
      </c>
      <c r="B1" s="12" t="s">
        <v>91</v>
      </c>
      <c r="C1" s="12" t="s">
        <v>106</v>
      </c>
      <c r="D1" s="12" t="s">
        <v>107</v>
      </c>
      <c r="E1" s="12" t="s">
        <v>96</v>
      </c>
      <c r="F1" s="12" t="s">
        <v>89</v>
      </c>
      <c r="G1" s="12" t="s">
        <v>99</v>
      </c>
    </row>
    <row r="2">
      <c r="A2" s="6">
        <v>1.0</v>
      </c>
      <c r="B2" s="16">
        <v>46138.0</v>
      </c>
      <c r="C2" s="14" t="s">
        <v>108</v>
      </c>
      <c r="D2" s="6" t="s">
        <v>109</v>
      </c>
      <c r="E2" s="17">
        <v>657.0</v>
      </c>
      <c r="F2" s="14" t="s">
        <v>110</v>
      </c>
      <c r="G2" s="7"/>
    </row>
    <row r="3">
      <c r="A3" s="6">
        <v>2.0</v>
      </c>
      <c r="B3" s="16">
        <v>46138.0</v>
      </c>
      <c r="C3" s="14" t="s">
        <v>108</v>
      </c>
      <c r="D3" s="14" t="s">
        <v>109</v>
      </c>
      <c r="E3" s="17"/>
      <c r="F3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6.13"/>
    <col customWidth="1" min="5" max="5" width="9.38"/>
    <col customWidth="1" min="6" max="6" width="15.5"/>
    <col customWidth="1" min="7" max="7" width="29.75"/>
  </cols>
  <sheetData>
    <row r="1">
      <c r="A1" s="12" t="s">
        <v>90</v>
      </c>
      <c r="B1" s="12" t="s">
        <v>91</v>
      </c>
      <c r="C1" s="12" t="s">
        <v>111</v>
      </c>
      <c r="D1" s="12" t="s">
        <v>112</v>
      </c>
      <c r="E1" s="12" t="s">
        <v>113</v>
      </c>
      <c r="F1" s="12" t="s">
        <v>89</v>
      </c>
      <c r="G1" s="12" t="s">
        <v>99</v>
      </c>
    </row>
    <row r="2">
      <c r="A2" s="6">
        <v>1.0</v>
      </c>
      <c r="B2" s="16">
        <v>46143.0</v>
      </c>
      <c r="C2" s="14" t="s">
        <v>114</v>
      </c>
      <c r="D2" s="14">
        <v>1.199146687E10</v>
      </c>
      <c r="E2" s="17">
        <v>250.0</v>
      </c>
      <c r="F2" s="6" t="s">
        <v>115</v>
      </c>
      <c r="G2" s="14" t="s">
        <v>116</v>
      </c>
    </row>
    <row r="3">
      <c r="A3" s="6">
        <v>2.0</v>
      </c>
      <c r="B3" s="13">
        <v>46154.0</v>
      </c>
      <c r="C3" s="6" t="s">
        <v>117</v>
      </c>
      <c r="D3" s="7"/>
      <c r="E3" s="20"/>
      <c r="F3" s="6" t="s">
        <v>115</v>
      </c>
      <c r="G3" s="7"/>
    </row>
    <row r="4">
      <c r="A4" s="7"/>
      <c r="E4" s="19"/>
    </row>
    <row r="5">
      <c r="E5" s="19"/>
    </row>
    <row r="6">
      <c r="E6" s="19"/>
    </row>
    <row r="7">
      <c r="E7" s="19"/>
    </row>
    <row r="8">
      <c r="E8" s="19"/>
    </row>
    <row r="9">
      <c r="E9" s="19"/>
    </row>
    <row r="10">
      <c r="E10" s="19"/>
    </row>
    <row r="11">
      <c r="E11" s="19"/>
    </row>
    <row r="12">
      <c r="E12" s="19"/>
    </row>
    <row r="13">
      <c r="E13" s="19"/>
    </row>
    <row r="14">
      <c r="E14" s="19"/>
    </row>
    <row r="15">
      <c r="E15" s="19"/>
    </row>
    <row r="16">
      <c r="E16" s="19"/>
    </row>
    <row r="17">
      <c r="E17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  <col customWidth="1" min="6" max="6" width="16.75"/>
    <col customWidth="1" min="8" max="8" width="18.63"/>
  </cols>
  <sheetData>
    <row r="1">
      <c r="A1" s="12" t="s">
        <v>90</v>
      </c>
      <c r="B1" s="12" t="s">
        <v>91</v>
      </c>
      <c r="C1" s="12" t="s">
        <v>118</v>
      </c>
      <c r="D1" s="12" t="s">
        <v>107</v>
      </c>
      <c r="E1" s="12" t="s">
        <v>113</v>
      </c>
      <c r="F1" s="12" t="s">
        <v>89</v>
      </c>
      <c r="G1" s="12" t="s">
        <v>119</v>
      </c>
      <c r="H1" s="12" t="s">
        <v>99</v>
      </c>
    </row>
    <row r="2">
      <c r="A2" s="6">
        <v>1.0</v>
      </c>
      <c r="B2" s="16">
        <v>46173.0</v>
      </c>
      <c r="C2" s="6" t="s">
        <v>120</v>
      </c>
      <c r="D2" s="14" t="s">
        <v>121</v>
      </c>
      <c r="E2" s="6"/>
      <c r="F2" s="6" t="s">
        <v>115</v>
      </c>
      <c r="G2" s="7"/>
      <c r="H2" s="7"/>
    </row>
    <row r="3">
      <c r="A3" s="6">
        <v>2.0</v>
      </c>
      <c r="B3" s="13">
        <v>46160.0</v>
      </c>
      <c r="C3" s="6" t="s">
        <v>122</v>
      </c>
      <c r="D3" s="6" t="s">
        <v>123</v>
      </c>
      <c r="E3" s="6"/>
      <c r="F3" s="6" t="s">
        <v>124</v>
      </c>
      <c r="G3" s="7"/>
      <c r="H3" s="6" t="s">
        <v>125</v>
      </c>
    </row>
    <row r="4">
      <c r="A4" s="6">
        <v>3.0</v>
      </c>
      <c r="B4" s="13">
        <v>46162.0</v>
      </c>
      <c r="C4" s="6" t="s">
        <v>120</v>
      </c>
      <c r="D4" s="6" t="s">
        <v>126</v>
      </c>
      <c r="E4" s="6"/>
      <c r="F4" s="6" t="s">
        <v>115</v>
      </c>
      <c r="G4" s="7"/>
      <c r="H4" s="7"/>
    </row>
    <row r="5">
      <c r="A5" s="7"/>
    </row>
    <row r="6">
      <c r="B6" s="13">
        <v>46160.0</v>
      </c>
      <c r="C6" s="6" t="s">
        <v>127</v>
      </c>
      <c r="D6" s="6"/>
      <c r="E6" s="6"/>
      <c r="F6" s="6" t="s">
        <v>115</v>
      </c>
      <c r="G6" s="7"/>
      <c r="H6" s="6" t="s">
        <v>128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6.75"/>
    <col customWidth="1" min="3" max="3" width="15.75"/>
  </cols>
  <sheetData>
    <row r="1">
      <c r="A1" s="12" t="s">
        <v>129</v>
      </c>
      <c r="B1" s="12" t="s">
        <v>113</v>
      </c>
    </row>
    <row r="2">
      <c r="A2" s="6" t="s">
        <v>130</v>
      </c>
      <c r="B2" s="17">
        <v>40000.0</v>
      </c>
    </row>
    <row r="3">
      <c r="A3" s="6" t="s">
        <v>131</v>
      </c>
      <c r="B3" s="20">
        <v>1000.0</v>
      </c>
    </row>
    <row r="4">
      <c r="A4" s="6" t="s">
        <v>132</v>
      </c>
      <c r="B4" s="20">
        <v>30.0</v>
      </c>
    </row>
    <row r="5">
      <c r="A5" s="6" t="s">
        <v>133</v>
      </c>
      <c r="B5" s="13">
        <v>46218.0</v>
      </c>
    </row>
    <row r="6">
      <c r="A6" s="6" t="s">
        <v>134</v>
      </c>
      <c r="B6" s="14" t="s">
        <v>135</v>
      </c>
    </row>
    <row r="7">
      <c r="A7" s="6" t="s">
        <v>136</v>
      </c>
      <c r="B7" s="17">
        <v>1000.0</v>
      </c>
      <c r="C7" s="21" t="s">
        <v>137</v>
      </c>
    </row>
    <row r="8">
      <c r="A8" s="6" t="s">
        <v>138</v>
      </c>
      <c r="B8" s="14" t="s">
        <v>139</v>
      </c>
    </row>
  </sheetData>
  <drawing r:id="rId1"/>
</worksheet>
</file>